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/>
  <workbookPr/>
  <bookViews>
    <workbookView xWindow="0" yWindow="0" windowWidth="24000" windowHeight="12000"/>
  </bookViews>
  <sheets>
    <sheet name="Budget" sheetId="1" r:id="rId1"/>
  </sheet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 &quot;DKK&quot;"/>
  </numFmts>
  <fonts count="3">
    <font>
      <sz val="11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D3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164" fontId="0" fillId="3" borderId="1" xfId="0" applyNumberFormat="1" applyFill="1" applyBorder="1"/>
    <xf numFmtId="0" fontId="0" fillId="0" borderId="1" xfId="0" applyBorder="1"/>
    <xf numFmtId="164" fontId="2" fillId="0" borderId="1" xfId="0" applyNumberFormat="1" applyFont="1" applyBorder="1"/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21" topLeftCell="A22" activePane="bottomLeft" state="frozen"/>
      <selection pane="bottomLeft" activeCell="D23" sqref="D23"/>
    </sheetView>
  </sheetViews>
  <sheetFormatPr defaultRowHeight="15"/>
  <cols>
    <col min="1" max="1" width="28" customWidth="1"/>
    <col min="2" max="8" width="15" customWidth="1"/>
    <col min="9" max="9" width="4" customWidth="1"/>
    <col min="10" max="10" width="16" customWidth="1"/>
    <col min="11" max="15" width="15" customWidth="1"/>
  </cols>
  <sheetData>
    <row r="1" ht="22" customHeight="1">
      <c r="A1" t="inlineStr" s="1">
        <is>
          <t>PotAlot cashflow-budget</t>
        </is>
      </c>
    </row>
    <row r="2">
      <c r="A2" t="inlineStr" s="9">
        <is>
          <t>Gule felter kan rettes manuelt: løn, salgsindtjening og støtte.</t>
        </is>
      </c>
    </row>
    <row r="4" ht="22" customHeight="1">
      <c r="A4" t="inlineStr" s="2">
        <is>
          <t>Forudsætninger</t>
        </is>
      </c>
      <c r="J4" t="inlineStr" s="2">
        <is>
          <t>Driftsomkostninger ekskl. løn</t>
        </is>
      </c>
    </row>
    <row r="5">
      <c r="A5" t="inlineStr" s="6">
        <is>
          <t>Startkapital</t>
        </is>
      </c>
      <c r="B5" s="7">
        <v>213737</v>
      </c>
      <c r="J5" t="inlineStr" s="3">
        <is>
          <t>Måned</t>
        </is>
      </c>
      <c r="K5" t="inlineStr" s="3">
        <is>
          <t>Marketing</t>
        </is>
      </c>
      <c r="L5" t="inlineStr" s="3">
        <is>
          <t>Salgsfremmende</t>
        </is>
      </c>
      <c r="M5" t="inlineStr" s="3">
        <is>
          <t>Software</t>
        </is>
      </c>
      <c r="N5" t="inlineStr" s="3">
        <is>
          <t>5R</t>
        </is>
      </c>
      <c r="O5" t="inlineStr" s="3">
        <is>
          <t>Samlet ekskl. løn</t>
        </is>
      </c>
    </row>
    <row r="6">
      <c r="J6" t="inlineStr" s="6">
        <is>
          <t>Marts</t>
        </is>
      </c>
      <c r="K6" s="4">
        <v>1000</v>
      </c>
      <c r="L6" s="4">
        <v>1000</v>
      </c>
      <c r="M6" s="4">
        <v>5000</v>
      </c>
      <c r="N6" s="4">
        <v>0</v>
      </c>
      <c r="O6" s="7">
        <f>SUM(K6:N6)</f>
        <v>7000</v>
      </c>
    </row>
    <row r="7" ht="22" customHeight="1">
      <c r="A7" t="inlineStr" s="2">
        <is>
          <t>Løn pr. måned</t>
        </is>
      </c>
      <c r="J7" t="inlineStr" s="6">
        <is>
          <t>April</t>
        </is>
      </c>
      <c r="K7" s="4">
        <v>17000</v>
      </c>
      <c r="L7" s="4">
        <v>2000</v>
      </c>
      <c r="M7" s="4">
        <v>0</v>
      </c>
      <c r="N7" s="4">
        <v>64000</v>
      </c>
      <c r="O7" s="7">
        <f>SUM(K7:N7)</f>
        <v>83000</v>
      </c>
    </row>
    <row r="8">
      <c r="A8" t="inlineStr" s="3">
        <is>
          <t>Person</t>
        </is>
      </c>
      <c r="B8" t="inlineStr" s="3">
        <is>
          <t>Marts</t>
        </is>
      </c>
      <c r="C8" t="inlineStr" s="3">
        <is>
          <t>April</t>
        </is>
      </c>
      <c r="D8" t="inlineStr" s="3">
        <is>
          <t>Maj</t>
        </is>
      </c>
      <c r="E8" t="inlineStr" s="3">
        <is>
          <t>Juni</t>
        </is>
      </c>
      <c r="F8" t="inlineStr" s="3">
        <is>
          <t>Juli</t>
        </is>
      </c>
      <c r="G8" t="inlineStr" s="3">
        <is>
          <t>August</t>
        </is>
      </c>
      <c r="H8" t="inlineStr" s="3">
        <is>
          <t>Total</t>
        </is>
      </c>
      <c r="J8" t="inlineStr" s="6">
        <is>
          <t>Maj</t>
        </is>
      </c>
      <c r="K8" s="4">
        <v>1000</v>
      </c>
      <c r="L8" s="4">
        <v>1000</v>
      </c>
      <c r="M8" s="4">
        <v>5000</v>
      </c>
      <c r="N8" s="4">
        <v>0</v>
      </c>
      <c r="O8" s="7">
        <f>SUM(K8:N8)</f>
        <v>7000</v>
      </c>
    </row>
    <row r="9">
      <c r="A9" t="inlineStr" s="6">
        <is>
          <t>Mads</t>
        </is>
      </c>
      <c r="B9" s="5">
        <v>40000</v>
      </c>
      <c r="C9" s="5">
        <v>40000</v>
      </c>
      <c r="D9" s="5">
        <v>40000</v>
      </c>
      <c r="E9" s="5">
        <v>40000</v>
      </c>
      <c r="F9" s="5">
        <v>40000</v>
      </c>
      <c r="G9" s="5">
        <v>40000</v>
      </c>
      <c r="H9" s="7">
        <f>SUM(B9:G9)</f>
        <v>240000</v>
      </c>
      <c r="J9" t="inlineStr" s="6">
        <is>
          <t>Juni</t>
        </is>
      </c>
      <c r="K9" s="4">
        <v>0</v>
      </c>
      <c r="L9" s="4">
        <v>0</v>
      </c>
      <c r="M9" s="4">
        <v>0</v>
      </c>
      <c r="N9" s="4">
        <v>0</v>
      </c>
      <c r="O9" s="7">
        <f>SUM(K9:N9)</f>
        <v>0</v>
      </c>
    </row>
    <row r="10">
      <c r="A10" t="inlineStr" s="6">
        <is>
          <t>Rasmus</t>
        </is>
      </c>
      <c r="B10" s="5">
        <v>40000</v>
      </c>
      <c r="C10" s="5">
        <v>40000</v>
      </c>
      <c r="D10" s="5">
        <v>40000</v>
      </c>
      <c r="E10" s="5">
        <v>40000</v>
      </c>
      <c r="F10" s="5">
        <v>40000</v>
      </c>
      <c r="G10" s="5">
        <v>40000</v>
      </c>
      <c r="H10" s="7">
        <f>SUM(B10:G10)</f>
        <v>240000</v>
      </c>
      <c r="J10" t="inlineStr" s="6">
        <is>
          <t>Juli</t>
        </is>
      </c>
      <c r="K10" s="4">
        <v>0</v>
      </c>
      <c r="L10" s="4">
        <v>0</v>
      </c>
      <c r="M10" s="4">
        <v>0</v>
      </c>
      <c r="N10" s="4">
        <v>0</v>
      </c>
      <c r="O10" s="7">
        <f>SUM(K10:N10)</f>
        <v>0</v>
      </c>
    </row>
    <row r="11">
      <c r="A11" t="inlineStr" s="6">
        <is>
          <t>Marius</t>
        </is>
      </c>
      <c r="B11" s="5">
        <v>30000</v>
      </c>
      <c r="C11" s="5">
        <v>30000</v>
      </c>
      <c r="D11" s="5">
        <v>30000</v>
      </c>
      <c r="E11" s="5">
        <v>30000</v>
      </c>
      <c r="F11" s="5">
        <v>30000</v>
      </c>
      <c r="G11" s="5">
        <v>30000</v>
      </c>
      <c r="H11" s="7">
        <f>SUM(B11:G11)</f>
        <v>180000</v>
      </c>
      <c r="J11" t="inlineStr" s="6">
        <is>
          <t>August</t>
        </is>
      </c>
      <c r="K11" s="4">
        <v>0</v>
      </c>
      <c r="L11" s="4">
        <v>0</v>
      </c>
      <c r="M11" s="4">
        <v>0</v>
      </c>
      <c r="N11" s="4">
        <v>0</v>
      </c>
      <c r="O11" s="7">
        <f>SUM(K11:N11)</f>
        <v>0</v>
      </c>
    </row>
    <row r="12">
      <c r="A12" t="inlineStr" s="6">
        <is>
          <t>Samlet løn pr. måned</t>
        </is>
      </c>
      <c r="B12" s="7">
        <f>SUM(B9:B11)</f>
        <v>110000</v>
      </c>
      <c r="C12" s="7">
        <f>SUM(C9:C11)</f>
        <v>110000</v>
      </c>
      <c r="D12" s="7">
        <f>SUM(D9:D11)</f>
        <v>110000</v>
      </c>
      <c r="E12" s="7">
        <f>SUM(E9:E11)</f>
        <v>110000</v>
      </c>
      <c r="F12" s="7">
        <f>SUM(F9:F11)</f>
        <v>110000</v>
      </c>
      <c r="G12" s="7">
        <f>SUM(G9:G11)</f>
        <v>110000</v>
      </c>
      <c r="H12" s="7">
        <f>SUM(H9:H11)</f>
        <v>660000</v>
      </c>
    </row>
    <row r="14" ht="22" customHeight="1">
      <c r="A14" t="inlineStr" s="2">
        <is>
          <t>Indtjening pr. måned</t>
        </is>
      </c>
    </row>
    <row r="15">
      <c r="A15" t="inlineStr" s="3">
        <is>
          <t>Type</t>
        </is>
      </c>
      <c r="B15" t="inlineStr" s="3">
        <is>
          <t>Marts</t>
        </is>
      </c>
      <c r="C15" t="inlineStr" s="3">
        <is>
          <t>April</t>
        </is>
      </c>
      <c r="D15" t="inlineStr" s="3">
        <is>
          <t>Maj</t>
        </is>
      </c>
      <c r="E15" t="inlineStr" s="3">
        <is>
          <t>Juni</t>
        </is>
      </c>
      <c r="F15" t="inlineStr" s="3">
        <is>
          <t>Juli</t>
        </is>
      </c>
      <c r="G15" t="inlineStr" s="3">
        <is>
          <t>August</t>
        </is>
      </c>
      <c r="H15" t="inlineStr" s="3">
        <is>
          <t>Total</t>
        </is>
      </c>
    </row>
    <row r="16">
      <c r="A16" t="inlineStr" s="6">
        <is>
          <t>Salgsindtjening</t>
        </is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7">
        <f>SUM(B16:G16)</f>
        <v>0</v>
      </c>
    </row>
    <row r="17">
      <c r="A17" t="inlineStr" s="6">
        <is>
          <t>Støtte</t>
        </is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7">
        <f>SUM(B17:G17)</f>
        <v>0</v>
      </c>
    </row>
    <row r="18">
      <c r="A18" t="inlineStr" s="6">
        <is>
          <t>Samlet indtjening</t>
        </is>
      </c>
      <c r="B18" s="7">
        <f>B16+B17</f>
        <v>0</v>
      </c>
      <c r="C18" s="7">
        <f>C16+C17</f>
        <v>0</v>
      </c>
      <c r="D18" s="7">
        <f>D16+D17</f>
        <v>0</v>
      </c>
      <c r="E18" s="7">
        <f>E16+E17</f>
        <v>0</v>
      </c>
      <c r="F18" s="7">
        <f>F16+F17</f>
        <v>0</v>
      </c>
      <c r="G18" s="7">
        <f>G16+G17</f>
        <v>0</v>
      </c>
      <c r="H18" s="7">
        <f>SUM(B18:G18)</f>
        <v>0</v>
      </c>
    </row>
    <row r="21" ht="22" customHeight="1">
      <c r="A21" t="inlineStr" s="2">
        <is>
          <t>Budget</t>
        </is>
      </c>
    </row>
    <row r="22">
      <c r="A22" t="inlineStr" s="3">
        <is>
          <t>Måned</t>
        </is>
      </c>
      <c r="B22" t="inlineStr" s="3">
        <is>
          <t>Start saldo</t>
        </is>
      </c>
      <c r="C22" t="inlineStr" s="3">
        <is>
          <t>Udgifter (inkl. løn)</t>
        </is>
      </c>
      <c r="D22" t="inlineStr" s="3">
        <is>
          <t>Salgsindtjening</t>
        </is>
      </c>
      <c r="E22" t="inlineStr" s="3">
        <is>
          <t>Støtte</t>
        </is>
      </c>
      <c r="F22" t="inlineStr" s="3">
        <is>
          <t>Samlet indtjening</t>
        </is>
      </c>
      <c r="G22" t="inlineStr" s="3">
        <is>
          <t>Slut saldo</t>
        </is>
      </c>
    </row>
    <row r="23">
      <c r="A23" t="inlineStr" s="6">
        <is>
          <t>Marts</t>
        </is>
      </c>
      <c r="B23" s="4">
        <f>$B$5</f>
        <v>213737</v>
      </c>
      <c r="C23" s="4">
        <f>$B$12+$O$6</f>
        <v>117000</v>
      </c>
      <c r="D23" s="5">
        <f>B16</f>
        <v>0</v>
      </c>
      <c r="E23" s="5">
        <f>B17</f>
        <v>0</v>
      </c>
      <c r="F23" s="7">
        <f>D23+E23</f>
        <v>0</v>
      </c>
      <c r="G23" s="7">
        <f>B23+F23-C23</f>
        <v>96737</v>
      </c>
    </row>
    <row r="24">
      <c r="A24" t="inlineStr" s="6">
        <is>
          <t>April</t>
        </is>
      </c>
      <c r="B24" s="4">
        <f>G23</f>
        <v>96737</v>
      </c>
      <c r="C24" s="4">
        <f>$C$12+$O$7</f>
        <v>193000</v>
      </c>
      <c r="D24" s="5">
        <f>C16</f>
        <v>0</v>
      </c>
      <c r="E24" s="5">
        <f>C17</f>
        <v>0</v>
      </c>
      <c r="F24" s="7">
        <f>D24+E24</f>
        <v>0</v>
      </c>
      <c r="G24" s="7">
        <f>B24+F24-C24</f>
        <v>-96263</v>
      </c>
    </row>
    <row r="25">
      <c r="A25" t="inlineStr" s="6">
        <is>
          <t>Maj</t>
        </is>
      </c>
      <c r="B25" s="4">
        <f>G24</f>
        <v>-96263</v>
      </c>
      <c r="C25" s="4">
        <f>$D$12+$O$8</f>
        <v>117000</v>
      </c>
      <c r="D25" s="5">
        <f>D16</f>
        <v>0</v>
      </c>
      <c r="E25" s="5">
        <f>D17</f>
        <v>0</v>
      </c>
      <c r="F25" s="7">
        <f>D25+E25</f>
        <v>0</v>
      </c>
      <c r="G25" s="7">
        <f>B25+F25-C25</f>
        <v>-213263</v>
      </c>
    </row>
    <row r="26">
      <c r="A26" t="inlineStr" s="6">
        <is>
          <t>Juni</t>
        </is>
      </c>
      <c r="B26" s="4">
        <f>G25</f>
        <v>-213263</v>
      </c>
      <c r="C26" s="4">
        <f>$E$12+$O$9</f>
        <v>110000</v>
      </c>
      <c r="D26" s="5">
        <f>E16</f>
        <v>0</v>
      </c>
      <c r="E26" s="5">
        <f>E17</f>
        <v>0</v>
      </c>
      <c r="F26" s="7">
        <f>D26+E26</f>
        <v>0</v>
      </c>
      <c r="G26" s="7">
        <f>B26+F26-C26</f>
        <v>-323263</v>
      </c>
    </row>
    <row r="27">
      <c r="A27" t="inlineStr" s="6">
        <is>
          <t>Juli</t>
        </is>
      </c>
      <c r="B27" s="4">
        <f>G26</f>
        <v>-323263</v>
      </c>
      <c r="C27" s="4">
        <f>$F$12+$O$10</f>
        <v>110000</v>
      </c>
      <c r="D27" s="5">
        <f>F16</f>
        <v>0</v>
      </c>
      <c r="E27" s="5">
        <f>F17</f>
        <v>0</v>
      </c>
      <c r="F27" s="7">
        <f>D27+E27</f>
        <v>0</v>
      </c>
      <c r="G27" s="7">
        <f>B27+F27-C27</f>
        <v>-433263</v>
      </c>
    </row>
    <row r="28">
      <c r="A28" t="inlineStr" s="6">
        <is>
          <t>August</t>
        </is>
      </c>
      <c r="B28" s="4">
        <f>G27</f>
        <v>-433263</v>
      </c>
      <c r="C28" s="4">
        <f>$G$12+$O$11</f>
        <v>110000</v>
      </c>
      <c r="D28" s="5">
        <f>G16</f>
        <v>0</v>
      </c>
      <c r="E28" s="5">
        <f>G17</f>
        <v>0</v>
      </c>
      <c r="F28" s="7">
        <f>D28+E28</f>
        <v>0</v>
      </c>
      <c r="G28" s="7">
        <f>B28+F28-C28</f>
        <v>-543263</v>
      </c>
    </row>
    <row r="31" ht="22" customHeight="1">
      <c r="A31" t="inlineStr" s="2">
        <is>
          <t>Opsummering</t>
        </is>
      </c>
      <c r="D31" t="inlineStr" s="2">
        <is>
          <t>Min. indtjening pr. måned</t>
        </is>
      </c>
      <c r="G31" t="inlineStr" s="2">
        <is>
          <t>Break-even analyse</t>
        </is>
      </c>
    </row>
    <row r="32">
      <c r="A32" t="inlineStr" s="6">
        <is>
          <t>Burn rate marts</t>
        </is>
      </c>
      <c r="B32" s="4">
        <f>C23-F23</f>
        <v>117000</v>
      </c>
      <c r="D32" t="inlineStr" s="6">
        <is>
          <t>Marts</t>
        </is>
      </c>
      <c r="E32" s="4">
        <f>C23</f>
        <v>117000</v>
      </c>
      <c r="G32" t="inlineStr" s="6">
        <is>
          <t>Samlet indtjening for ikke at gå i minus efter april</t>
        </is>
      </c>
      <c r="H32" s="7">
        <f>MAX(0,C23+C24-$B$5)</f>
        <v>96263</v>
      </c>
    </row>
    <row r="33">
      <c r="A33" t="inlineStr" s="6">
        <is>
          <t>Burn rate april</t>
        </is>
      </c>
      <c r="B33" s="4">
        <f>C24-F24</f>
        <v>193000</v>
      </c>
      <c r="D33" t="inlineStr" s="6">
        <is>
          <t>April</t>
        </is>
      </c>
      <c r="E33" s="4">
        <f>C24</f>
        <v>193000</v>
      </c>
      <c r="G33" t="inlineStr" s="6">
        <is>
          <t>Mangler ift. nuværende input efter april</t>
        </is>
      </c>
      <c r="H33" s="7">
        <f>MAX(0,H32-SUM(F23:F24))</f>
        <v>96263</v>
      </c>
    </row>
    <row r="34">
      <c r="A34" t="inlineStr" s="6">
        <is>
          <t>Burn rate maj</t>
        </is>
      </c>
      <c r="B34" s="4">
        <f>C25-F25</f>
        <v>117000</v>
      </c>
      <c r="D34" t="inlineStr" s="6">
        <is>
          <t>Maj</t>
        </is>
      </c>
      <c r="E34" s="4">
        <f>C25</f>
        <v>117000</v>
      </c>
      <c r="G34" t="inlineStr" s="6">
        <is>
          <t>Samlet indtjening for positiv saldo efter maj</t>
        </is>
      </c>
      <c r="H34" s="7">
        <f>MAX(0,C23+C24+C25-$B$5+1)</f>
        <v>213264</v>
      </c>
    </row>
    <row r="35">
      <c r="A35" t="inlineStr" s="6">
        <is>
          <t>Burn rate juni</t>
        </is>
      </c>
      <c r="B35" s="4">
        <f>C26-F26</f>
        <v>110000</v>
      </c>
      <c r="D35" t="inlineStr" s="6">
        <is>
          <t>Juni</t>
        </is>
      </c>
      <c r="E35" s="4">
        <f>C26</f>
        <v>110000</v>
      </c>
      <c r="G35" t="inlineStr" s="6">
        <is>
          <t>Mangler ift. nuværende input efter maj</t>
        </is>
      </c>
      <c r="H35" s="7">
        <f>MAX(0,H34-SUM(F23:F25))</f>
        <v>213264</v>
      </c>
    </row>
    <row r="36">
      <c r="A36" t="inlineStr" s="6">
        <is>
          <t>Burn rate juli</t>
        </is>
      </c>
      <c r="B36" s="4">
        <f>C27-F27</f>
        <v>110000</v>
      </c>
      <c r="D36" t="inlineStr" s="6">
        <is>
          <t>Juli</t>
        </is>
      </c>
      <c r="E36" s="4">
        <f>C27</f>
        <v>110000</v>
      </c>
      <c r="G36" t="inlineStr" s="6">
        <is>
          <t>Samlet indtjening for positiv saldo efter august</t>
        </is>
      </c>
      <c r="H36" s="7">
        <f>MAX(0,SUM(C23:C28)-$B$5+1)</f>
        <v>543264</v>
      </c>
    </row>
    <row r="37">
      <c r="A37" t="inlineStr" s="6">
        <is>
          <t>Burn rate august</t>
        </is>
      </c>
      <c r="B37" s="4">
        <f>C28-F28</f>
        <v>110000</v>
      </c>
      <c r="D37" t="inlineStr" s="6">
        <is>
          <t>August</t>
        </is>
      </c>
      <c r="E37" s="4">
        <f>C28</f>
        <v>110000</v>
      </c>
      <c r="G37" t="inlineStr" s="6">
        <is>
          <t>Mangler ift. nuværende input efter august</t>
        </is>
      </c>
      <c r="H37" s="7">
        <f>MAX(0,H36-SUM(F23:F28))</f>
        <v>543264</v>
      </c>
    </row>
    <row r="38">
      <c r="A38" t="inlineStr" s="6">
        <is>
          <t>Gennemsnitlig burn rate</t>
        </is>
      </c>
      <c r="B38" s="4">
        <f>AVERAGE(B32:B37)</f>
        <v>126166.66666666667</v>
      </c>
    </row>
    <row r="39">
      <c r="A39" t="inlineStr" s="6">
        <is>
          <t>Cash går i 0</t>
        </is>
      </c>
      <c r="B39" s="6" t="str">
        <f>IF(G23&lt;=0,"Marts",IF(G24&lt;=0,"April",IF(G25&lt;=0,"Maj",IF(G26&lt;=0,"Juni",IF(G27&lt;=0,"Juli",IF(G28&lt;=0,"August","Positiv saldo efter august"))))))</f>
        <v>April</v>
      </c>
    </row>
    <row r="40">
      <c r="A40" t="inlineStr" s="6">
        <is>
          <t>Runway i modellen</t>
        </is>
      </c>
      <c r="B40" s="6" t="str">
        <f>IF(G23&lt;=0,"Under 1 måned",IF(G24&lt;=0,"1-2 måneder",IF(G25&lt;=0,"2-3 måneder",IF(G26&lt;=0,"3-4 måneder",IF(G27&lt;=0,"4-5 måneder",IF(G28&lt;=0,"5-6 måneder","Over 6 måneder"))))))</f>
        <v>1-2 måneder</v>
      </c>
    </row>
    <row r="41">
      <c r="A41" t="inlineStr" s="6">
        <is>
          <t>Saldo efter august</t>
        </is>
      </c>
      <c r="B41" s="7">
        <f>G28</f>
        <v>-543263</v>
      </c>
    </row>
    <row r="43">
      <c r="A43" t="inlineStr" s="9">
        <is>
          <t>Støtte tæller direkte med i samlet indtjening.</t>
        </is>
      </c>
    </row>
  </sheetData>
  <dataValidations count="2">
    <dataValidation type="whole" operator="greaterThanOrEqual" allowBlank="1" showInputMessage="1" showErrorMessage="1" sqref="B9:G11">
      <formula1>0</formula1>
    </dataValidation>
    <dataValidation type="whole" operator="greaterThanOrEqual" allowBlank="1" showInputMessage="1" showErrorMessage="1" sqref="B16:G17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2026-03-27T11:57:32Z</dcterms:created>
  <dcterms:modified xsi:type="dcterms:W3CDTF">2026-03-27T11:57:32Z</dcterms:modified>
  <dc:title>PotAlot cashflow-budget</dc:title>
</cp:coreProperties>
</file>